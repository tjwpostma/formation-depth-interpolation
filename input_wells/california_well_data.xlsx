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postma-a/Projects/QGIS_projects/260326_depth_interpolation/input_welldata/"/>
    </mc:Choice>
  </mc:AlternateContent>
  <xr:revisionPtr revIDLastSave="0" documentId="13_ncr:1_{E697C7C7-A58C-6549-98B1-48B44708555F}" xr6:coauthVersionLast="47" xr6:coauthVersionMax="47" xr10:uidLastSave="{00000000-0000-0000-0000-000000000000}"/>
  <bookViews>
    <workbookView xWindow="0" yWindow="500" windowWidth="38400" windowHeight="22440" activeTab="2" xr2:uid="{047D4AE4-3CA6-6C41-A941-7E2B8332969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D2" i="1"/>
  <c r="D25" i="1"/>
  <c r="E4" i="1"/>
  <c r="D4" i="1" s="1"/>
  <c r="E5" i="1"/>
  <c r="D5" i="1" s="1"/>
  <c r="E6" i="1"/>
  <c r="E7" i="1"/>
  <c r="E8" i="1"/>
  <c r="E9" i="1"/>
  <c r="E10" i="1"/>
  <c r="E11" i="1"/>
  <c r="E12" i="1"/>
  <c r="E13" i="1"/>
  <c r="E14" i="1"/>
  <c r="E15" i="1"/>
  <c r="D15" i="1" s="1"/>
  <c r="E16" i="1"/>
  <c r="E17" i="1"/>
  <c r="D17" i="1" s="1"/>
  <c r="E18" i="1"/>
  <c r="D18" i="1" s="1"/>
  <c r="E19" i="1"/>
  <c r="D19" i="1" s="1"/>
  <c r="E20" i="1"/>
  <c r="E21" i="1"/>
  <c r="E22" i="1"/>
  <c r="E23" i="1"/>
  <c r="E24" i="1"/>
  <c r="E3" i="1"/>
  <c r="D3" i="1" s="1"/>
  <c r="D14" i="1" l="1"/>
  <c r="D12" i="1"/>
  <c r="D11" i="1"/>
  <c r="D10" i="1"/>
  <c r="D22" i="1"/>
  <c r="D8" i="1"/>
  <c r="D13" i="1"/>
  <c r="D24" i="1"/>
  <c r="D23" i="1"/>
  <c r="D21" i="1"/>
  <c r="D7" i="1"/>
  <c r="D16" i="1"/>
  <c r="D9" i="1"/>
  <c r="D20" i="1"/>
  <c r="D6" i="1"/>
</calcChain>
</file>

<file path=xl/sharedStrings.xml><?xml version="1.0" encoding="utf-8"?>
<sst xmlns="http://schemas.openxmlformats.org/spreadsheetml/2006/main" count="91" uniqueCount="31">
  <si>
    <t>lat</t>
  </si>
  <si>
    <t>lon</t>
  </si>
  <si>
    <t>well_id</t>
  </si>
  <si>
    <t>depth_top</t>
  </si>
  <si>
    <t>depth_bot</t>
  </si>
  <si>
    <t>thickness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</si>
  <si>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</si>
  <si>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</si>
  <si>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</si>
  <si>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</si>
  <si>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</si>
  <si>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</si>
  <si>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</si>
  <si>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</si>
  <si>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</si>
  <si>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</si>
  <si>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</si>
  <si>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</si>
  <si>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</si>
  <si>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</si>
  <si>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</si>
  <si>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</si>
  <si>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</si>
  <si>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</si>
  <si>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</si>
  <si>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</si>
  <si>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</si>
  <si>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</si>
  <si>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</si>
  <si>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</si>
  <si>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porosity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</si>
</sst>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2"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0" formatCode="General"/>
    </dxf>
    <dxf>
      <numFmt numFmtId="164" formatCode="0.00000000"/>
    </dxf>
    <dxf>
      <numFmt numFmtId="164" formatCode="0.00000000"/>
    </dxf>
    <dxf>
      <numFmt numFmtId="2" formatCode="0.00"/>
    </dxf>
    <dxf>
      <numFmt numFmtId="1" formatCode="0"/>
    </dxf>
    <dxf>
      <numFmt numFmtId="1" formatCode="0"/>
    </dxf>
    <dxf>
      <numFmt numFmtId="164" formatCode="0.00000000"/>
    </dxf>
    <dxf>
      <numFmt numFmtId="164" formatCode="0.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CA9FEB-A30F-3C4A-93D0-C4C504F151A0}" name="Table1" displayName="Table1" ref="A1:G25" totalsRowShown="0">
  <autoFilter ref="A1:G25" xr:uid="{FACA9FEB-A30F-3C4A-93D0-C4C504F151A0}"/>
  <sortState xmlns:xlrd2="http://schemas.microsoft.com/office/spreadsheetml/2017/richdata2" ref="A2:F25">
    <sortCondition ref="C1:C25"/>
  </sortState>
  <tableColumns count="7">
    <tableColumn id="1" xr3:uid="{47792002-35A9-5C4C-BAC9-9E172D52B851}" name="well_id"/>
    <tableColumn id="2" xr3:uid="{90372913-4109-F746-97BE-8832402A6753}" name="lat" dataDxfId="6"/>
    <tableColumn id="3" xr3:uid="{6162DE61-8D50-9942-BD23-3F923F912458}" name="lon" dataDxfId="5"/>
    <tableColumn id="4" xr3:uid="{763EEB87-007F-BE43-8880-DAB4846BC4D5}" name="depth_top" dataDxfId="4">
      <calculatedColumnFormula>Table1[[#This Row],[depth_bot]]-Table1[[#This Row],[thickness]]</calculatedColumnFormula>
    </tableColumn>
    <tableColumn id="5" xr3:uid="{5EA2B195-0091-8346-A6F3-485EF1E8223B}" name="depth_bot"/>
    <tableColumn id="6" xr3:uid="{1D17DE47-B56D-D64F-A519-89D386BEECFF}" name="thickness"/>
    <tableColumn id="7" xr3:uid="{B8B4356D-9432-3B48-B56D-1408E04BAAE3}" name="porosity" dataDxfId="3">
      <calculatedColumnFormula>0.1+RAND()*0.1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AC1F9E-6FEC-2F4A-9592-2411D0A2628D}" name="Table2" displayName="Table2" ref="A1:G25" totalsRowShown="0">
  <autoFilter ref="A1:G25" xr:uid="{07AC1F9E-6FEC-2F4A-9592-2411D0A2628D}"/>
  <sortState xmlns:xlrd2="http://schemas.microsoft.com/office/spreadsheetml/2017/richdata2" ref="A2:G25">
    <sortCondition ref="A1:A25"/>
  </sortState>
  <tableColumns count="7">
    <tableColumn id="1" xr3:uid="{3F531C90-4B8F-6C4B-9B39-766D7B32E87A}" name="well_id"/>
    <tableColumn id="2" xr3:uid="{13F81AF3-9DEB-1540-89E5-753EA907735D}" name="lat" dataDxfId="11"/>
    <tableColumn id="3" xr3:uid="{79FCA1E3-4EC8-BE42-92CB-567F91107721}" name="lon" dataDxfId="10"/>
    <tableColumn id="4" xr3:uid="{A3BBA304-C6A9-FB45-A426-CF33B0122F1E}" name="depth_top" dataDxfId="9"/>
    <tableColumn id="5" xr3:uid="{B4E56B25-9A73-264C-8778-D90C22907CE9}" name="depth_bot" dataDxfId="8"/>
    <tableColumn id="6" xr3:uid="{BC487E06-1197-B345-A456-F362E9E0DAEA}" name="thickness"/>
    <tableColumn id="7" xr3:uid="{91CD3D75-0C4A-CA45-9B32-8A25383ACBB1}" name="porosity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D4784C-8A2D-304D-80A6-42E806B0580C}" name="Table24" displayName="Table24" ref="A1:E25" totalsRowShown="0">
  <autoFilter ref="A1:E25" xr:uid="{07AC1F9E-6FEC-2F4A-9592-2411D0A2628D}"/>
  <sortState xmlns:xlrd2="http://schemas.microsoft.com/office/spreadsheetml/2017/richdata2" ref="A2:E25">
    <sortCondition ref="A1:A25"/>
  </sortState>
  <tableColumns count="5">
    <tableColumn id="1" xr3:uid="{C57B159A-35D8-B74F-ACCC-EE87666C85C9}" name="well_id"/>
    <tableColumn id="4" xr3:uid="{D594D577-0EF4-7542-AEC3-6189B318D26B}" name="depth_top" dataDxfId="2"/>
    <tableColumn id="5" xr3:uid="{4C858588-98CD-0D44-83C1-887EA3225A78}" name="depth_bot" dataDxfId="1"/>
    <tableColumn id="6" xr3:uid="{B39AEB70-25C2-B749-8CD3-8ADCF29C1379}" name="thickness"/>
    <tableColumn id="7" xr3:uid="{35DC5AD7-BDA2-B24A-B4E7-5F653DE866B4}" name="poros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605F5-DB7B-404B-A3F4-85C939F65DC2}">
  <dimension ref="A1:G25"/>
  <sheetViews>
    <sheetView workbookViewId="0">
      <selection activeCell="D21" sqref="A1:G25"/>
    </sheetView>
  </sheetViews>
  <sheetFormatPr baseColWidth="10" defaultRowHeight="16" x14ac:dyDescent="0.2"/>
  <cols>
    <col min="1" max="1" width="9.6640625" customWidth="1"/>
    <col min="2" max="2" width="11.6640625" bestFit="1" customWidth="1"/>
    <col min="3" max="3" width="13.33203125" bestFit="1" customWidth="1"/>
    <col min="4" max="6" width="11.6640625" customWidth="1"/>
    <col min="7" max="7" width="9.6640625" customWidth="1"/>
  </cols>
  <sheetData>
    <row r="1" spans="1:7" x14ac:dyDescent="0.2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30</v>
      </c>
    </row>
    <row r="2" spans="1:7" x14ac:dyDescent="0.2">
      <c r="A2" t="s">
        <v>11</v>
      </c>
      <c r="B2" s="1">
        <v>38.085370599999997</v>
      </c>
      <c r="C2" s="1">
        <v>-121.8585872</v>
      </c>
      <c r="D2">
        <f>Table1[[#This Row],[depth_bot]]-Table1[[#This Row],[thickness]]</f>
        <v>1930</v>
      </c>
      <c r="E2">
        <v>2000</v>
      </c>
      <c r="F2">
        <v>70</v>
      </c>
      <c r="G2" s="2">
        <f t="shared" ref="G2:G25" ca="1" si="0">0.1+RAND()*0.1</f>
        <v>0.11203481246679114</v>
      </c>
    </row>
    <row r="3" spans="1:7" x14ac:dyDescent="0.2">
      <c r="A3" t="s">
        <v>21</v>
      </c>
      <c r="B3" s="1">
        <v>38.902909999999999</v>
      </c>
      <c r="C3" s="1">
        <v>-121.746826</v>
      </c>
      <c r="D3">
        <f>Table1[[#This Row],[depth_bot]]-Table1[[#This Row],[thickness]]</f>
        <v>1880.7148820033717</v>
      </c>
      <c r="E3">
        <f>$E$2+($E$25-$E$2)/($C$25-$C$2)*(Table1[[#This Row],[lon]]-$C$2)</f>
        <v>1980.7148820033717</v>
      </c>
      <c r="F3">
        <v>100</v>
      </c>
      <c r="G3" s="2">
        <f t="shared" ca="1" si="0"/>
        <v>0.12324576423932344</v>
      </c>
    </row>
    <row r="4" spans="1:7" x14ac:dyDescent="0.2">
      <c r="A4" t="s">
        <v>15</v>
      </c>
      <c r="B4" s="1">
        <v>39.052977301185997</v>
      </c>
      <c r="C4" s="1">
        <v>-121.69555986749501</v>
      </c>
      <c r="D4">
        <f>Table1[[#This Row],[depth_bot]]-Table1[[#This Row],[thickness]]</f>
        <v>1861.8685792203887</v>
      </c>
      <c r="E4">
        <f>$E$2+($E$25-$E$2)/($C$25-$C$2)*(Table1[[#This Row],[lon]]-$C$2)</f>
        <v>1971.8685792203887</v>
      </c>
      <c r="F4">
        <v>110</v>
      </c>
      <c r="G4" s="2">
        <f t="shared" ca="1" si="0"/>
        <v>0.11111296528122801</v>
      </c>
    </row>
    <row r="5" spans="1:7" x14ac:dyDescent="0.2">
      <c r="A5" t="s">
        <v>26</v>
      </c>
      <c r="B5" s="1">
        <v>37.897600014199597</v>
      </c>
      <c r="C5" s="1">
        <v>-121.541187017947</v>
      </c>
      <c r="D5">
        <f>Table1[[#This Row],[depth_bot]]-Table1[[#This Row],[thickness]]</f>
        <v>1855.2305454572486</v>
      </c>
      <c r="E5">
        <f>$E$2+($E$25-$E$2)/($C$25-$C$2)*(Table1[[#This Row],[lon]]-$C$2)</f>
        <v>1945.2305454572486</v>
      </c>
      <c r="F5">
        <v>90</v>
      </c>
      <c r="G5" s="2">
        <f t="shared" ca="1" si="0"/>
        <v>0.14650081592125958</v>
      </c>
    </row>
    <row r="6" spans="1:7" x14ac:dyDescent="0.2">
      <c r="A6" t="s">
        <v>22</v>
      </c>
      <c r="B6" s="1">
        <v>37.886800000000001</v>
      </c>
      <c r="C6" s="1">
        <v>-121.53927</v>
      </c>
      <c r="D6">
        <f>Table1[[#This Row],[depth_bot]]-Table1[[#This Row],[thickness]]</f>
        <v>1854.8997516101044</v>
      </c>
      <c r="E6">
        <f>$E$2+($E$25-$E$2)/($C$25-$C$2)*(Table1[[#This Row],[lon]]-$C$2)</f>
        <v>1944.8997516101044</v>
      </c>
      <c r="F6">
        <v>90</v>
      </c>
      <c r="G6" s="2">
        <f t="shared" ca="1" si="0"/>
        <v>0.12838162730579711</v>
      </c>
    </row>
    <row r="7" spans="1:7" x14ac:dyDescent="0.2">
      <c r="A7" t="s">
        <v>9</v>
      </c>
      <c r="B7" s="1">
        <v>38.061810000000001</v>
      </c>
      <c r="C7" s="1">
        <v>-121.42757</v>
      </c>
      <c r="D7">
        <f>Table1[[#This Row],[depth_bot]]-Table1[[#This Row],[thickness]]</f>
        <v>1835.6251940693542</v>
      </c>
      <c r="E7">
        <f>$E$2+($E$25-$E$2)/($C$25-$C$2)*(Table1[[#This Row],[lon]]-$C$2)</f>
        <v>1925.6251940693542</v>
      </c>
      <c r="F7">
        <v>90</v>
      </c>
      <c r="G7" s="2">
        <f t="shared" ca="1" si="0"/>
        <v>0.17237821705788317</v>
      </c>
    </row>
    <row r="8" spans="1:7" x14ac:dyDescent="0.2">
      <c r="A8" t="s">
        <v>18</v>
      </c>
      <c r="B8" s="1">
        <v>38.061810000000001</v>
      </c>
      <c r="C8" s="1">
        <v>-121.42757</v>
      </c>
      <c r="D8">
        <f>Table1[[#This Row],[depth_bot]]-Table1[[#This Row],[thickness]]</f>
        <v>1835.6251940693542</v>
      </c>
      <c r="E8">
        <f>$E$2+($E$25-$E$2)/($C$25-$C$2)*(Table1[[#This Row],[lon]]-$C$2)</f>
        <v>1925.6251940693542</v>
      </c>
      <c r="F8">
        <v>90</v>
      </c>
      <c r="G8" s="2">
        <f t="shared" ca="1" si="0"/>
        <v>0.12913778474088644</v>
      </c>
    </row>
    <row r="9" spans="1:7" x14ac:dyDescent="0.2">
      <c r="A9" t="s">
        <v>17</v>
      </c>
      <c r="B9" s="1">
        <v>37.852209999999999</v>
      </c>
      <c r="C9" s="1">
        <v>-121.42306000000001</v>
      </c>
      <c r="D9">
        <f>Table1[[#This Row],[depth_bot]]-Table1[[#This Row],[thickness]]</f>
        <v>1839.8469643960443</v>
      </c>
      <c r="E9">
        <f>$E$2+($E$25-$E$2)/($C$25-$C$2)*(Table1[[#This Row],[lon]]-$C$2)</f>
        <v>1924.8469643960443</v>
      </c>
      <c r="F9">
        <v>85</v>
      </c>
      <c r="G9" s="2">
        <f t="shared" ca="1" si="0"/>
        <v>0.13734533770215868</v>
      </c>
    </row>
    <row r="10" spans="1:7" x14ac:dyDescent="0.2">
      <c r="A10" t="s">
        <v>14</v>
      </c>
      <c r="B10" s="1">
        <v>38.018037</v>
      </c>
      <c r="C10" s="1">
        <v>-121.42216550000001</v>
      </c>
      <c r="D10">
        <f>Table1[[#This Row],[depth_bot]]-Table1[[#This Row],[thickness]]</f>
        <v>1834.6926126348965</v>
      </c>
      <c r="E10">
        <f>$E$2+($E$25-$E$2)/($C$25-$C$2)*(Table1[[#This Row],[lon]]-$C$2)</f>
        <v>1924.6926126348965</v>
      </c>
      <c r="F10">
        <v>90</v>
      </c>
      <c r="G10" s="2">
        <f t="shared" ca="1" si="0"/>
        <v>0.1314202446214125</v>
      </c>
    </row>
    <row r="11" spans="1:7" x14ac:dyDescent="0.2">
      <c r="A11" t="s">
        <v>13</v>
      </c>
      <c r="B11" s="1">
        <v>37.941514397172597</v>
      </c>
      <c r="C11" s="1">
        <v>-121.33798227666</v>
      </c>
      <c r="D11">
        <f>Table1[[#This Row],[depth_bot]]-Table1[[#This Row],[thickness]]</f>
        <v>1820.166252901389</v>
      </c>
      <c r="E11">
        <f>$E$2+($E$25-$E$2)/($C$25-$C$2)*(Table1[[#This Row],[lon]]-$C$2)</f>
        <v>1910.166252901389</v>
      </c>
      <c r="F11">
        <v>90</v>
      </c>
      <c r="G11" s="2">
        <f t="shared" ca="1" si="0"/>
        <v>0.15997610993842357</v>
      </c>
    </row>
    <row r="12" spans="1:7" x14ac:dyDescent="0.2">
      <c r="A12" t="s">
        <v>10</v>
      </c>
      <c r="B12" s="1">
        <v>38.323410699999997</v>
      </c>
      <c r="C12" s="1">
        <v>-121.32098499999999</v>
      </c>
      <c r="D12">
        <f>Table1[[#This Row],[depth_bot]]-Table1[[#This Row],[thickness]]</f>
        <v>1827.2332628654055</v>
      </c>
      <c r="E12">
        <f>$E$2+($E$25-$E$2)/($C$25-$C$2)*(Table1[[#This Row],[lon]]-$C$2)</f>
        <v>1907.2332628654055</v>
      </c>
      <c r="F12">
        <v>80</v>
      </c>
      <c r="G12" s="2">
        <f t="shared" ca="1" si="0"/>
        <v>0.15102002009117643</v>
      </c>
    </row>
    <row r="13" spans="1:7" x14ac:dyDescent="0.2">
      <c r="A13" t="s">
        <v>19</v>
      </c>
      <c r="B13" s="1">
        <v>38.323410699999997</v>
      </c>
      <c r="C13" s="1">
        <v>-121.32098499999999</v>
      </c>
      <c r="D13">
        <f>Table1[[#This Row],[depth_bot]]-Table1[[#This Row],[thickness]]</f>
        <v>1827.2332628654055</v>
      </c>
      <c r="E13">
        <f>$E$2+($E$25-$E$2)/($C$25-$C$2)*(Table1[[#This Row],[lon]]-$C$2)</f>
        <v>1907.2332628654055</v>
      </c>
      <c r="F13">
        <v>80</v>
      </c>
      <c r="G13" s="2">
        <f t="shared" ca="1" si="0"/>
        <v>0.16300340245062006</v>
      </c>
    </row>
    <row r="14" spans="1:7" x14ac:dyDescent="0.2">
      <c r="A14" t="s">
        <v>20</v>
      </c>
      <c r="B14" s="1">
        <v>36.086130099999998</v>
      </c>
      <c r="C14" s="1">
        <v>-120.1740401</v>
      </c>
      <c r="D14">
        <f>Table1[[#This Row],[depth_bot]]-Table1[[#This Row],[thickness]]</f>
        <v>1639.3205012618232</v>
      </c>
      <c r="E14">
        <f>$E$2+($E$25-$E$2)/($C$25-$C$2)*(Table1[[#This Row],[lon]]-$C$2)</f>
        <v>1709.3205012618232</v>
      </c>
      <c r="F14">
        <v>70</v>
      </c>
      <c r="G14" s="2">
        <f t="shared" ca="1" si="0"/>
        <v>0.13623481604957255</v>
      </c>
    </row>
    <row r="15" spans="1:7" x14ac:dyDescent="0.2">
      <c r="A15" t="s">
        <v>12</v>
      </c>
      <c r="B15" s="1">
        <v>35.541580000000003</v>
      </c>
      <c r="C15" s="1">
        <v>-119.79358000000001</v>
      </c>
      <c r="D15">
        <f>Table1[[#This Row],[depth_bot]]-Table1[[#This Row],[thickness]]</f>
        <v>1588.6696499689892</v>
      </c>
      <c r="E15">
        <f>$E$2+($E$25-$E$2)/($C$25-$C$2)*(Table1[[#This Row],[lon]]-$C$2)</f>
        <v>1643.6696499689892</v>
      </c>
      <c r="F15">
        <v>55</v>
      </c>
      <c r="G15" s="2">
        <f t="shared" ca="1" si="0"/>
        <v>0.14289908178661623</v>
      </c>
    </row>
    <row r="16" spans="1:7" x14ac:dyDescent="0.2">
      <c r="A16" t="s">
        <v>24</v>
      </c>
      <c r="B16" s="1">
        <v>35.447809999999997</v>
      </c>
      <c r="C16" s="1">
        <v>-119.753</v>
      </c>
      <c r="D16">
        <f>Table1[[#This Row],[depth_bot]]-Table1[[#This Row],[thickness]]</f>
        <v>1591.6673084738795</v>
      </c>
      <c r="E16">
        <f>$E$2+($E$25-$E$2)/($C$25-$C$2)*(Table1[[#This Row],[lon]]-$C$2)</f>
        <v>1636.6673084738795</v>
      </c>
      <c r="F16">
        <v>45</v>
      </c>
      <c r="G16" s="2">
        <f t="shared" ca="1" si="0"/>
        <v>0.16579855756435583</v>
      </c>
    </row>
    <row r="17" spans="1:7" x14ac:dyDescent="0.2">
      <c r="A17" t="s">
        <v>25</v>
      </c>
      <c r="B17" s="1">
        <v>35.453060000000001</v>
      </c>
      <c r="C17" s="1">
        <v>-119.71934</v>
      </c>
      <c r="D17">
        <f>Table1[[#This Row],[depth_bot]]-Table1[[#This Row],[thickness]]</f>
        <v>1585.8590577413675</v>
      </c>
      <c r="E17">
        <f>$E$2+($E$25-$E$2)/($C$25-$C$2)*(Table1[[#This Row],[lon]]-$C$2)</f>
        <v>1630.8590577413675</v>
      </c>
      <c r="F17">
        <v>45</v>
      </c>
      <c r="G17" s="2">
        <f t="shared" ca="1" si="0"/>
        <v>0.19594476979461173</v>
      </c>
    </row>
    <row r="18" spans="1:7" x14ac:dyDescent="0.2">
      <c r="A18" t="s">
        <v>6</v>
      </c>
      <c r="B18" s="1">
        <v>35.329709999999999</v>
      </c>
      <c r="C18" s="1">
        <v>-119.544571</v>
      </c>
      <c r="D18">
        <f>Table1[[#This Row],[depth_bot]]-Table1[[#This Row],[thickness]]</f>
        <v>1560.7015362835396</v>
      </c>
      <c r="E18">
        <f>$E$2+($E$25-$E$2)/($C$25-$C$2)*(Table1[[#This Row],[lon]]-$C$2)</f>
        <v>1600.7015362835396</v>
      </c>
      <c r="F18">
        <v>40</v>
      </c>
      <c r="G18" s="2">
        <f t="shared" ca="1" si="0"/>
        <v>0.11944677559829479</v>
      </c>
    </row>
    <row r="19" spans="1:7" x14ac:dyDescent="0.2">
      <c r="A19" t="s">
        <v>29</v>
      </c>
      <c r="B19" s="1">
        <v>35.309550000000002</v>
      </c>
      <c r="C19" s="1">
        <v>-119.5125</v>
      </c>
      <c r="D19">
        <f>Table1[[#This Row],[depth_bot]]-Table1[[#This Row],[thickness]]</f>
        <v>1555.1674777796054</v>
      </c>
      <c r="E19">
        <f>$E$2+($E$25-$E$2)/($C$25-$C$2)*(Table1[[#This Row],[lon]]-$C$2)</f>
        <v>1595.1674777796054</v>
      </c>
      <c r="F19">
        <v>40</v>
      </c>
      <c r="G19" s="2">
        <f t="shared" ca="1" si="0"/>
        <v>0.19607052844489548</v>
      </c>
    </row>
    <row r="20" spans="1:7" x14ac:dyDescent="0.2">
      <c r="A20" t="s">
        <v>28</v>
      </c>
      <c r="B20" s="1">
        <v>35.280320107163298</v>
      </c>
      <c r="C20" s="1">
        <v>-119.470143038986</v>
      </c>
      <c r="D20">
        <f>Table1[[#This Row],[depth_bot]]-Table1[[#This Row],[thickness]]</f>
        <v>1532.8585101671092</v>
      </c>
      <c r="E20">
        <f>$E$2+($E$25-$E$2)/($C$25-$C$2)*(Table1[[#This Row],[lon]]-$C$2)</f>
        <v>1587.8585101671092</v>
      </c>
      <c r="F20">
        <v>55</v>
      </c>
      <c r="G20" s="2">
        <f t="shared" ca="1" si="0"/>
        <v>0.17283552005577063</v>
      </c>
    </row>
    <row r="21" spans="1:7" x14ac:dyDescent="0.2">
      <c r="A21" t="s">
        <v>23</v>
      </c>
      <c r="B21" s="1">
        <v>35.984999999999999</v>
      </c>
      <c r="C21" s="1">
        <v>-119.42972222</v>
      </c>
      <c r="D21">
        <f>Table1[[#This Row],[depth_bot]]-Table1[[#This Row],[thickness]]</f>
        <v>1520.8836363856431</v>
      </c>
      <c r="E21">
        <f>$E$2+($E$25-$E$2)/($C$25-$C$2)*(Table1[[#This Row],[lon]]-$C$2)</f>
        <v>1580.8836363856431</v>
      </c>
      <c r="F21">
        <v>60</v>
      </c>
      <c r="G21" s="2">
        <f t="shared" ca="1" si="0"/>
        <v>0.10196791469976361</v>
      </c>
    </row>
    <row r="22" spans="1:7" x14ac:dyDescent="0.2">
      <c r="A22" t="s">
        <v>27</v>
      </c>
      <c r="B22" s="1">
        <v>35.240839999999999</v>
      </c>
      <c r="C22" s="1">
        <v>-119.36056000000001</v>
      </c>
      <c r="D22">
        <f>Table1[[#This Row],[depth_bot]]-Table1[[#This Row],[thickness]]</f>
        <v>1513.9492479430651</v>
      </c>
      <c r="E22">
        <f>$E$2+($E$25-$E$2)/($C$25-$C$2)*(Table1[[#This Row],[lon]]-$C$2)</f>
        <v>1568.9492479430651</v>
      </c>
      <c r="F22">
        <v>55</v>
      </c>
      <c r="G22" s="2">
        <f t="shared" ca="1" si="0"/>
        <v>0.13928290585160669</v>
      </c>
    </row>
    <row r="23" spans="1:7" x14ac:dyDescent="0.2">
      <c r="A23" t="s">
        <v>16</v>
      </c>
      <c r="B23" s="1">
        <v>36.002100660210402</v>
      </c>
      <c r="C23" s="1">
        <v>-119.30283642697999</v>
      </c>
      <c r="D23">
        <f>Table1[[#This Row],[depth_bot]]-Table1[[#This Row],[thickness]]</f>
        <v>1498.9886720287236</v>
      </c>
      <c r="E23">
        <f>$E$2+($E$25-$E$2)/($C$25-$C$2)*(Table1[[#This Row],[lon]]-$C$2)</f>
        <v>1558.9886720287236</v>
      </c>
      <c r="F23">
        <v>60</v>
      </c>
      <c r="G23" s="2">
        <f t="shared" ca="1" si="0"/>
        <v>0.15547680710853004</v>
      </c>
    </row>
    <row r="24" spans="1:7" x14ac:dyDescent="0.2">
      <c r="A24" t="s">
        <v>8</v>
      </c>
      <c r="B24" s="1">
        <v>35.443300000000001</v>
      </c>
      <c r="C24" s="1">
        <v>-118.99965</v>
      </c>
      <c r="D24">
        <f>Table1[[#This Row],[depth_bot]]-Table1[[#This Row],[thickness]]</f>
        <v>1456.6718928666792</v>
      </c>
      <c r="E24">
        <f>$E$2+($E$25-$E$2)/($C$25-$C$2)*(Table1[[#This Row],[lon]]-$C$2)</f>
        <v>1506.6718928666792</v>
      </c>
      <c r="F24">
        <v>50</v>
      </c>
      <c r="G24" s="2">
        <f t="shared" ca="1" si="0"/>
        <v>0.16269625091141021</v>
      </c>
    </row>
    <row r="25" spans="1:7" x14ac:dyDescent="0.2">
      <c r="A25" t="s">
        <v>7</v>
      </c>
      <c r="B25" s="1">
        <v>35.4406457698202</v>
      </c>
      <c r="C25" s="1">
        <v>-118.960985017334</v>
      </c>
      <c r="D25">
        <f>Table1[[#This Row],[depth_bot]]-Table1[[#This Row],[thickness]]</f>
        <v>1450</v>
      </c>
      <c r="E25">
        <v>1500</v>
      </c>
      <c r="F25">
        <v>50</v>
      </c>
      <c r="G25" s="2">
        <f t="shared" ca="1" si="0"/>
        <v>0.14066195260698605</v>
      </c>
    </row>
  </sheetData>
  <phoneticPr fontId="1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2DE2-75FF-0B4D-8F27-925307B9C786}">
  <dimension ref="A1:G25"/>
  <sheetViews>
    <sheetView workbookViewId="0">
      <selection activeCell="K18" sqref="K18"/>
    </sheetView>
  </sheetViews>
  <sheetFormatPr baseColWidth="10" defaultRowHeight="16" x14ac:dyDescent="0.2"/>
  <cols>
    <col min="2" max="2" width="11.6640625" bestFit="1" customWidth="1"/>
    <col min="3" max="3" width="13.33203125" bestFit="1" customWidth="1"/>
    <col min="4" max="6" width="11.6640625" customWidth="1"/>
  </cols>
  <sheetData>
    <row r="1" spans="1:7" x14ac:dyDescent="0.2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30</v>
      </c>
    </row>
    <row r="2" spans="1:7" x14ac:dyDescent="0.2">
      <c r="A2" t="s">
        <v>21</v>
      </c>
      <c r="B2" s="1">
        <v>38.902909999999999</v>
      </c>
      <c r="C2" s="1">
        <v>-121.746826</v>
      </c>
      <c r="D2" s="3">
        <v>1880.7148820033717</v>
      </c>
      <c r="E2" s="3">
        <v>1980.7148820033717</v>
      </c>
      <c r="F2">
        <v>100</v>
      </c>
      <c r="G2" s="2">
        <v>0.13008287957888731</v>
      </c>
    </row>
    <row r="3" spans="1:7" x14ac:dyDescent="0.2">
      <c r="A3" t="s">
        <v>22</v>
      </c>
      <c r="B3" s="1">
        <v>37.886800000000001</v>
      </c>
      <c r="C3" s="1">
        <v>-121.53927</v>
      </c>
      <c r="D3" s="3">
        <v>1854.8997516101044</v>
      </c>
      <c r="E3" s="3">
        <v>1944.8997516101044</v>
      </c>
      <c r="F3">
        <v>90</v>
      </c>
      <c r="G3" s="2">
        <v>0.12730913329850407</v>
      </c>
    </row>
    <row r="4" spans="1:7" x14ac:dyDescent="0.2">
      <c r="A4" t="s">
        <v>23</v>
      </c>
      <c r="B4" s="1">
        <v>35.984999999999999</v>
      </c>
      <c r="C4" s="1">
        <v>-119.42972222</v>
      </c>
      <c r="D4" s="3">
        <v>1520.8836363856431</v>
      </c>
      <c r="E4" s="3">
        <v>1580.8836363856431</v>
      </c>
      <c r="F4">
        <v>60</v>
      </c>
      <c r="G4" s="2">
        <v>0.16391826355516553</v>
      </c>
    </row>
    <row r="5" spans="1:7" x14ac:dyDescent="0.2">
      <c r="A5" t="s">
        <v>24</v>
      </c>
      <c r="B5" s="1">
        <v>35.447809999999997</v>
      </c>
      <c r="C5" s="1">
        <v>-119.753</v>
      </c>
      <c r="D5" s="3">
        <v>1591.6673084738795</v>
      </c>
      <c r="E5" s="3">
        <v>1636.6673084738795</v>
      </c>
      <c r="F5">
        <v>45</v>
      </c>
      <c r="G5" s="2">
        <v>0.13949824101611591</v>
      </c>
    </row>
    <row r="6" spans="1:7" x14ac:dyDescent="0.2">
      <c r="A6" t="s">
        <v>25</v>
      </c>
      <c r="B6" s="1">
        <v>35.453060000000001</v>
      </c>
      <c r="C6" s="1">
        <v>-119.71934</v>
      </c>
      <c r="D6" s="3">
        <v>1585.8590577413675</v>
      </c>
      <c r="E6" s="3">
        <v>1630.8590577413675</v>
      </c>
      <c r="F6">
        <v>45</v>
      </c>
      <c r="G6" s="2">
        <v>0.17241246088948647</v>
      </c>
    </row>
    <row r="7" spans="1:7" x14ac:dyDescent="0.2">
      <c r="A7" t="s">
        <v>26</v>
      </c>
      <c r="B7" s="1">
        <v>37.897600014199597</v>
      </c>
      <c r="C7" s="1">
        <v>-121.541187017947</v>
      </c>
      <c r="D7" s="3">
        <v>1855.2305454572486</v>
      </c>
      <c r="E7" s="3">
        <v>1945.2305454572486</v>
      </c>
      <c r="F7">
        <v>90</v>
      </c>
      <c r="G7" s="2">
        <v>0.11652433402013518</v>
      </c>
    </row>
    <row r="8" spans="1:7" x14ac:dyDescent="0.2">
      <c r="A8" t="s">
        <v>27</v>
      </c>
      <c r="B8" s="1">
        <v>35.240839999999999</v>
      </c>
      <c r="C8" s="1">
        <v>-119.36056000000001</v>
      </c>
      <c r="D8" s="3">
        <v>1513.9492479430651</v>
      </c>
      <c r="E8" s="3">
        <v>1568.9492479430651</v>
      </c>
      <c r="F8">
        <v>55</v>
      </c>
      <c r="G8" s="2">
        <v>0.12678951562475485</v>
      </c>
    </row>
    <row r="9" spans="1:7" x14ac:dyDescent="0.2">
      <c r="A9" t="s">
        <v>28</v>
      </c>
      <c r="B9" s="1">
        <v>35.280320107163298</v>
      </c>
      <c r="C9" s="1">
        <v>-119.470143038986</v>
      </c>
      <c r="D9" s="3">
        <v>1532.8585101671092</v>
      </c>
      <c r="E9" s="3">
        <v>1587.8585101671092</v>
      </c>
      <c r="F9">
        <v>55</v>
      </c>
      <c r="G9" s="2">
        <v>0.18052369803070328</v>
      </c>
    </row>
    <row r="10" spans="1:7" x14ac:dyDescent="0.2">
      <c r="A10" t="s">
        <v>29</v>
      </c>
      <c r="B10" s="1">
        <v>35.309550000000002</v>
      </c>
      <c r="C10" s="1">
        <v>-119.5125</v>
      </c>
      <c r="D10" s="3">
        <v>1555.1674777796054</v>
      </c>
      <c r="E10" s="3">
        <v>1595.1674777796054</v>
      </c>
      <c r="F10">
        <v>40</v>
      </c>
      <c r="G10" s="2">
        <v>0.13861772348702775</v>
      </c>
    </row>
    <row r="11" spans="1:7" x14ac:dyDescent="0.2">
      <c r="A11" t="s">
        <v>6</v>
      </c>
      <c r="B11" s="1">
        <v>35.329709999999999</v>
      </c>
      <c r="C11" s="1">
        <v>-119.544571</v>
      </c>
      <c r="D11" s="3">
        <v>1560.7015362835396</v>
      </c>
      <c r="E11" s="3">
        <v>1600.7015362835396</v>
      </c>
      <c r="F11">
        <v>40</v>
      </c>
      <c r="G11" s="2">
        <v>0.15066285096464732</v>
      </c>
    </row>
    <row r="12" spans="1:7" x14ac:dyDescent="0.2">
      <c r="A12" t="s">
        <v>7</v>
      </c>
      <c r="B12" s="1">
        <v>35.4406457698202</v>
      </c>
      <c r="C12" s="1">
        <v>-118.960985017334</v>
      </c>
      <c r="D12" s="3">
        <v>1450</v>
      </c>
      <c r="E12" s="3">
        <v>1500</v>
      </c>
      <c r="F12">
        <v>50</v>
      </c>
      <c r="G12" s="2">
        <v>0.11693425596675756</v>
      </c>
    </row>
    <row r="13" spans="1:7" x14ac:dyDescent="0.2">
      <c r="A13" t="s">
        <v>8</v>
      </c>
      <c r="B13" s="1">
        <v>35.443300000000001</v>
      </c>
      <c r="C13" s="1">
        <v>-118.99965</v>
      </c>
      <c r="D13" s="3">
        <v>1456.6718928666792</v>
      </c>
      <c r="E13" s="3">
        <v>1506.6718928666792</v>
      </c>
      <c r="F13">
        <v>50</v>
      </c>
      <c r="G13" s="2">
        <v>0.12304298105757118</v>
      </c>
    </row>
    <row r="14" spans="1:7" x14ac:dyDescent="0.2">
      <c r="A14" t="s">
        <v>9</v>
      </c>
      <c r="B14" s="1">
        <v>38.061810000000001</v>
      </c>
      <c r="C14" s="1">
        <v>-121.42757</v>
      </c>
      <c r="D14" s="3">
        <v>1835.6251940693542</v>
      </c>
      <c r="E14" s="3">
        <v>1925.6251940693542</v>
      </c>
      <c r="F14">
        <v>90</v>
      </c>
      <c r="G14" s="2">
        <v>0.19348465353120475</v>
      </c>
    </row>
    <row r="15" spans="1:7" x14ac:dyDescent="0.2">
      <c r="A15" t="s">
        <v>10</v>
      </c>
      <c r="B15" s="1">
        <v>38.323410699999997</v>
      </c>
      <c r="C15" s="1">
        <v>-121.32098499999999</v>
      </c>
      <c r="D15" s="3">
        <v>1827.2332628654055</v>
      </c>
      <c r="E15" s="3">
        <v>1907.2332628654055</v>
      </c>
      <c r="F15">
        <v>80</v>
      </c>
      <c r="G15" s="2">
        <v>0.19497235073418737</v>
      </c>
    </row>
    <row r="16" spans="1:7" x14ac:dyDescent="0.2">
      <c r="A16" t="s">
        <v>11</v>
      </c>
      <c r="B16" s="1">
        <v>38.085370599999997</v>
      </c>
      <c r="C16" s="1">
        <v>-121.8585872</v>
      </c>
      <c r="D16" s="3">
        <v>1930</v>
      </c>
      <c r="E16" s="3">
        <v>2000</v>
      </c>
      <c r="F16">
        <v>70</v>
      </c>
      <c r="G16" s="2">
        <v>0.16455561083533121</v>
      </c>
    </row>
    <row r="17" spans="1:7" x14ac:dyDescent="0.2">
      <c r="A17" t="s">
        <v>12</v>
      </c>
      <c r="B17" s="1">
        <v>35.541580000000003</v>
      </c>
      <c r="C17" s="1">
        <v>-119.79358000000001</v>
      </c>
      <c r="D17" s="3">
        <v>1588.6696499689892</v>
      </c>
      <c r="E17" s="3">
        <v>1643.6696499689892</v>
      </c>
      <c r="F17">
        <v>55</v>
      </c>
      <c r="G17" s="2">
        <v>0.1517710193886978</v>
      </c>
    </row>
    <row r="18" spans="1:7" x14ac:dyDescent="0.2">
      <c r="A18" t="s">
        <v>13</v>
      </c>
      <c r="B18" s="1">
        <v>37.941514397172597</v>
      </c>
      <c r="C18" s="1">
        <v>-121.33798227666</v>
      </c>
      <c r="D18" s="3">
        <v>1820.166252901389</v>
      </c>
      <c r="E18" s="3">
        <v>1910.166252901389</v>
      </c>
      <c r="F18">
        <v>90</v>
      </c>
      <c r="G18" s="2">
        <v>0.17400310245504091</v>
      </c>
    </row>
    <row r="19" spans="1:7" x14ac:dyDescent="0.2">
      <c r="A19" t="s">
        <v>14</v>
      </c>
      <c r="B19" s="1">
        <v>38.018037</v>
      </c>
      <c r="C19" s="1">
        <v>-121.42216550000001</v>
      </c>
      <c r="D19" s="3">
        <v>1834.6926126348965</v>
      </c>
      <c r="E19" s="3">
        <v>1924.6926126348965</v>
      </c>
      <c r="F19">
        <v>90</v>
      </c>
      <c r="G19" s="2">
        <v>0.16515934479111016</v>
      </c>
    </row>
    <row r="20" spans="1:7" x14ac:dyDescent="0.2">
      <c r="A20" t="s">
        <v>15</v>
      </c>
      <c r="B20" s="1">
        <v>39.052977301185997</v>
      </c>
      <c r="C20" s="1">
        <v>-121.69555986749501</v>
      </c>
      <c r="D20" s="3">
        <v>1861.8685792203887</v>
      </c>
      <c r="E20" s="3">
        <v>1971.8685792203887</v>
      </c>
      <c r="F20">
        <v>110</v>
      </c>
      <c r="G20" s="2">
        <v>0.17313877270245648</v>
      </c>
    </row>
    <row r="21" spans="1:7" x14ac:dyDescent="0.2">
      <c r="A21" t="s">
        <v>16</v>
      </c>
      <c r="B21" s="1">
        <v>36.002100660210402</v>
      </c>
      <c r="C21" s="1">
        <v>-119.30283642697999</v>
      </c>
      <c r="D21" s="3">
        <v>1498.9886720287236</v>
      </c>
      <c r="E21" s="3">
        <v>1558.9886720287236</v>
      </c>
      <c r="F21">
        <v>60</v>
      </c>
      <c r="G21" s="2">
        <v>0.1051749435804246</v>
      </c>
    </row>
    <row r="22" spans="1:7" x14ac:dyDescent="0.2">
      <c r="A22" t="s">
        <v>17</v>
      </c>
      <c r="B22" s="1">
        <v>37.852209999999999</v>
      </c>
      <c r="C22" s="1">
        <v>-121.42306000000001</v>
      </c>
      <c r="D22" s="3">
        <v>1839.8469643960443</v>
      </c>
      <c r="E22" s="3">
        <v>1924.8469643960443</v>
      </c>
      <c r="F22">
        <v>85</v>
      </c>
      <c r="G22" s="2">
        <v>0.15002267330589739</v>
      </c>
    </row>
    <row r="23" spans="1:7" x14ac:dyDescent="0.2">
      <c r="A23" t="s">
        <v>18</v>
      </c>
      <c r="B23" s="1">
        <v>38.061810000000001</v>
      </c>
      <c r="C23" s="1">
        <v>-121.42757</v>
      </c>
      <c r="D23" s="3">
        <v>1835.6251940693542</v>
      </c>
      <c r="E23" s="3">
        <v>1925.6251940693542</v>
      </c>
      <c r="F23">
        <v>90</v>
      </c>
      <c r="G23" s="2">
        <v>0.16340181597890574</v>
      </c>
    </row>
    <row r="24" spans="1:7" x14ac:dyDescent="0.2">
      <c r="A24" t="s">
        <v>19</v>
      </c>
      <c r="B24" s="1">
        <v>38.323410699999997</v>
      </c>
      <c r="C24" s="1">
        <v>-121.32098499999999</v>
      </c>
      <c r="D24" s="3">
        <v>1827.2332628654055</v>
      </c>
      <c r="E24" s="3">
        <v>1907.2332628654055</v>
      </c>
      <c r="F24">
        <v>80</v>
      </c>
      <c r="G24" s="2">
        <v>0.1076210798569124</v>
      </c>
    </row>
    <row r="25" spans="1:7" x14ac:dyDescent="0.2">
      <c r="A25" t="s">
        <v>20</v>
      </c>
      <c r="B25" s="1">
        <v>36.086130099999998</v>
      </c>
      <c r="C25" s="1">
        <v>-120.1740401</v>
      </c>
      <c r="D25" s="3">
        <v>1639.3205012618232</v>
      </c>
      <c r="E25" s="3">
        <v>1709.3205012618232</v>
      </c>
      <c r="F25">
        <v>70</v>
      </c>
      <c r="G25" s="2">
        <v>0.10339250975287405</v>
      </c>
    </row>
  </sheetData>
  <phoneticPr fontId="1" type="noConversion"/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CADA-4C53-AC47-BB69-8C5363A1D956}">
  <dimension ref="A1:E25"/>
  <sheetViews>
    <sheetView tabSelected="1" workbookViewId="0">
      <selection activeCell="H24" sqref="H24"/>
    </sheetView>
  </sheetViews>
  <sheetFormatPr baseColWidth="10" defaultRowHeight="16" x14ac:dyDescent="0.2"/>
  <cols>
    <col min="2" max="4" width="11.6640625" customWidth="1"/>
  </cols>
  <sheetData>
    <row r="1" spans="1:5" x14ac:dyDescent="0.2">
      <c r="A1" t="s">
        <v>2</v>
      </c>
      <c r="B1" t="s">
        <v>3</v>
      </c>
      <c r="C1" t="s">
        <v>4</v>
      </c>
      <c r="D1" t="s">
        <v>5</v>
      </c>
      <c r="E1" t="s">
        <v>30</v>
      </c>
    </row>
    <row r="2" spans="1:5" x14ac:dyDescent="0.2">
      <c r="A2" t="s">
        <v>21</v>
      </c>
      <c r="B2" s="3">
        <v>1880.7148820033717</v>
      </c>
      <c r="C2" s="3">
        <v>1980.7148820033717</v>
      </c>
      <c r="D2">
        <v>100</v>
      </c>
      <c r="E2" s="2">
        <v>0.13008287957888731</v>
      </c>
    </row>
    <row r="3" spans="1:5" x14ac:dyDescent="0.2">
      <c r="A3" t="s">
        <v>22</v>
      </c>
      <c r="B3" s="3">
        <v>1854.8997516101044</v>
      </c>
      <c r="C3" s="3">
        <v>1944.8997516101044</v>
      </c>
      <c r="D3">
        <v>90</v>
      </c>
      <c r="E3" s="2">
        <v>0.12730913329850407</v>
      </c>
    </row>
    <row r="4" spans="1:5" x14ac:dyDescent="0.2">
      <c r="A4" t="s">
        <v>23</v>
      </c>
      <c r="B4" s="3">
        <v>1520.8836363856431</v>
      </c>
      <c r="C4" s="3">
        <v>1580.8836363856431</v>
      </c>
      <c r="D4">
        <v>60</v>
      </c>
      <c r="E4" s="2">
        <v>0.16391826355516553</v>
      </c>
    </row>
    <row r="5" spans="1:5" x14ac:dyDescent="0.2">
      <c r="A5" t="s">
        <v>24</v>
      </c>
      <c r="B5" s="3">
        <v>1591.6673084738795</v>
      </c>
      <c r="C5" s="3">
        <v>1636.6673084738795</v>
      </c>
      <c r="D5">
        <v>45</v>
      </c>
      <c r="E5" s="2">
        <v>0.13949824101611591</v>
      </c>
    </row>
    <row r="6" spans="1:5" x14ac:dyDescent="0.2">
      <c r="A6" t="s">
        <v>25</v>
      </c>
      <c r="B6" s="3">
        <v>1585.8590577413675</v>
      </c>
      <c r="C6" s="3">
        <v>1630.8590577413675</v>
      </c>
      <c r="D6">
        <v>45</v>
      </c>
      <c r="E6" s="2">
        <v>0.17241246088948647</v>
      </c>
    </row>
    <row r="7" spans="1:5" x14ac:dyDescent="0.2">
      <c r="A7" t="s">
        <v>26</v>
      </c>
      <c r="B7" s="3">
        <v>1855.2305454572486</v>
      </c>
      <c r="C7" s="3">
        <v>1945.2305454572486</v>
      </c>
      <c r="D7">
        <v>90</v>
      </c>
      <c r="E7" s="2">
        <v>0.11652433402013518</v>
      </c>
    </row>
    <row r="8" spans="1:5" x14ac:dyDescent="0.2">
      <c r="A8" t="s">
        <v>27</v>
      </c>
      <c r="B8" s="3">
        <v>1513.9492479430651</v>
      </c>
      <c r="C8" s="3">
        <v>1568.9492479430651</v>
      </c>
      <c r="D8">
        <v>55</v>
      </c>
      <c r="E8" s="2">
        <v>0.12678951562475485</v>
      </c>
    </row>
    <row r="9" spans="1:5" x14ac:dyDescent="0.2">
      <c r="A9" t="s">
        <v>28</v>
      </c>
      <c r="B9" s="3">
        <v>1532.8585101671092</v>
      </c>
      <c r="C9" s="3">
        <v>1587.8585101671092</v>
      </c>
      <c r="D9">
        <v>55</v>
      </c>
      <c r="E9" s="2">
        <v>0.18052369803070328</v>
      </c>
    </row>
    <row r="10" spans="1:5" x14ac:dyDescent="0.2">
      <c r="A10" t="s">
        <v>29</v>
      </c>
      <c r="B10" s="3">
        <v>1555.1674777796054</v>
      </c>
      <c r="C10" s="3">
        <v>1595.1674777796054</v>
      </c>
      <c r="D10">
        <v>40</v>
      </c>
      <c r="E10" s="2">
        <v>0.13861772348702775</v>
      </c>
    </row>
    <row r="11" spans="1:5" x14ac:dyDescent="0.2">
      <c r="A11" t="s">
        <v>6</v>
      </c>
      <c r="B11" s="3">
        <v>1560.7015362835396</v>
      </c>
      <c r="C11" s="3">
        <v>1600.7015362835396</v>
      </c>
      <c r="D11">
        <v>40</v>
      </c>
      <c r="E11" s="2">
        <v>0.15066285096464732</v>
      </c>
    </row>
    <row r="12" spans="1:5" x14ac:dyDescent="0.2">
      <c r="A12" t="s">
        <v>7</v>
      </c>
      <c r="B12" s="3">
        <v>1450</v>
      </c>
      <c r="C12" s="3">
        <v>1500</v>
      </c>
      <c r="D12">
        <v>50</v>
      </c>
      <c r="E12" s="2">
        <v>0.11693425596675756</v>
      </c>
    </row>
    <row r="13" spans="1:5" x14ac:dyDescent="0.2">
      <c r="A13" t="s">
        <v>8</v>
      </c>
      <c r="B13" s="3">
        <v>1456.6718928666792</v>
      </c>
      <c r="C13" s="3">
        <v>1506.6718928666792</v>
      </c>
      <c r="D13">
        <v>50</v>
      </c>
      <c r="E13" s="2">
        <v>0.12304298105757118</v>
      </c>
    </row>
    <row r="14" spans="1:5" x14ac:dyDescent="0.2">
      <c r="A14" t="s">
        <v>9</v>
      </c>
      <c r="B14" s="3">
        <v>1835.6251940693542</v>
      </c>
      <c r="C14" s="3">
        <v>1925.6251940693542</v>
      </c>
      <c r="D14">
        <v>90</v>
      </c>
      <c r="E14" s="2">
        <v>0.19348465353120475</v>
      </c>
    </row>
    <row r="15" spans="1:5" x14ac:dyDescent="0.2">
      <c r="A15" t="s">
        <v>10</v>
      </c>
      <c r="B15" s="3">
        <v>1827.2332628654055</v>
      </c>
      <c r="C15" s="3">
        <v>1907.2332628654055</v>
      </c>
      <c r="D15">
        <v>80</v>
      </c>
      <c r="E15" s="2">
        <v>0.19497235073418737</v>
      </c>
    </row>
    <row r="16" spans="1:5" x14ac:dyDescent="0.2">
      <c r="A16" t="s">
        <v>11</v>
      </c>
      <c r="B16" s="3">
        <v>1930</v>
      </c>
      <c r="C16" s="3">
        <v>2000</v>
      </c>
      <c r="D16">
        <v>70</v>
      </c>
      <c r="E16" s="2">
        <v>0.16455561083533121</v>
      </c>
    </row>
    <row r="17" spans="1:5" x14ac:dyDescent="0.2">
      <c r="A17" t="s">
        <v>12</v>
      </c>
      <c r="B17" s="3">
        <v>1588.6696499689892</v>
      </c>
      <c r="C17" s="3">
        <v>1643.6696499689892</v>
      </c>
      <c r="D17">
        <v>55</v>
      </c>
      <c r="E17" s="2">
        <v>0.1517710193886978</v>
      </c>
    </row>
    <row r="18" spans="1:5" x14ac:dyDescent="0.2">
      <c r="A18" t="s">
        <v>13</v>
      </c>
      <c r="B18" s="3">
        <v>1820.166252901389</v>
      </c>
      <c r="C18" s="3">
        <v>1910.166252901389</v>
      </c>
      <c r="D18">
        <v>90</v>
      </c>
      <c r="E18" s="2">
        <v>0.17400310245504091</v>
      </c>
    </row>
    <row r="19" spans="1:5" x14ac:dyDescent="0.2">
      <c r="A19" t="s">
        <v>14</v>
      </c>
      <c r="B19" s="3">
        <v>1834.6926126348965</v>
      </c>
      <c r="C19" s="3">
        <v>1924.6926126348965</v>
      </c>
      <c r="D19">
        <v>90</v>
      </c>
      <c r="E19" s="2">
        <v>0.16515934479111016</v>
      </c>
    </row>
    <row r="20" spans="1:5" x14ac:dyDescent="0.2">
      <c r="A20" t="s">
        <v>15</v>
      </c>
      <c r="B20" s="3">
        <v>1861.8685792203887</v>
      </c>
      <c r="C20" s="3">
        <v>1971.8685792203887</v>
      </c>
      <c r="D20">
        <v>110</v>
      </c>
      <c r="E20" s="2">
        <v>0.17313877270245648</v>
      </c>
    </row>
    <row r="21" spans="1:5" x14ac:dyDescent="0.2">
      <c r="A21" t="s">
        <v>16</v>
      </c>
      <c r="B21" s="3">
        <v>1498.9886720287236</v>
      </c>
      <c r="C21" s="3">
        <v>1558.9886720287236</v>
      </c>
      <c r="D21">
        <v>60</v>
      </c>
      <c r="E21" s="2">
        <v>0.1051749435804246</v>
      </c>
    </row>
    <row r="22" spans="1:5" x14ac:dyDescent="0.2">
      <c r="A22" t="s">
        <v>17</v>
      </c>
      <c r="B22" s="3">
        <v>1839.8469643960443</v>
      </c>
      <c r="C22" s="3">
        <v>1924.8469643960443</v>
      </c>
      <c r="D22">
        <v>85</v>
      </c>
      <c r="E22" s="2">
        <v>0.15002267330589739</v>
      </c>
    </row>
    <row r="23" spans="1:5" x14ac:dyDescent="0.2">
      <c r="A23" t="s">
        <v>18</v>
      </c>
      <c r="B23" s="3">
        <v>1835.6251940693542</v>
      </c>
      <c r="C23" s="3">
        <v>1925.6251940693542</v>
      </c>
      <c r="D23">
        <v>90</v>
      </c>
      <c r="E23" s="2">
        <v>0.16340181597890574</v>
      </c>
    </row>
    <row r="24" spans="1:5" x14ac:dyDescent="0.2">
      <c r="A24" t="s">
        <v>19</v>
      </c>
      <c r="B24" s="3">
        <v>1827.2332628654055</v>
      </c>
      <c r="C24" s="3">
        <v>1907.2332628654055</v>
      </c>
      <c r="D24">
        <v>80</v>
      </c>
      <c r="E24" s="2">
        <v>0.1076210798569124</v>
      </c>
    </row>
    <row r="25" spans="1:5" x14ac:dyDescent="0.2">
      <c r="A25" t="s">
        <v>20</v>
      </c>
      <c r="B25" s="3">
        <v>1639.3205012618232</v>
      </c>
      <c r="C25" s="3">
        <v>1709.3205012618232</v>
      </c>
      <c r="D25">
        <v>70</v>
      </c>
      <c r="E25" s="2">
        <v>0.10339250975287405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Postma</dc:creator>
  <cp:lastModifiedBy>Tom Postma</cp:lastModifiedBy>
  <dcterms:created xsi:type="dcterms:W3CDTF">2026-03-27T00:15:47Z</dcterms:created>
  <dcterms:modified xsi:type="dcterms:W3CDTF">2026-03-29T00:43:13Z</dcterms:modified>
</cp:coreProperties>
</file>